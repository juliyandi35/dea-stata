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DEA\"/>
    </mc:Choice>
  </mc:AlternateContent>
  <xr:revisionPtr revIDLastSave="0" documentId="13_ncr:1_{B5F75488-334B-4D4C-9231-C8737843E1A9}" xr6:coauthVersionLast="47" xr6:coauthVersionMax="47" xr10:uidLastSave="{00000000-0000-0000-0000-000000000000}"/>
  <bookViews>
    <workbookView xWindow="-110" yWindow="-110" windowWidth="19420" windowHeight="10300" xr2:uid="{EF1BFA2B-5AAE-40EC-94B9-AE10114629A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H34" i="1"/>
  <c r="I34" i="1"/>
  <c r="J34" i="1"/>
  <c r="C35" i="1"/>
  <c r="D35" i="1"/>
  <c r="E35" i="1"/>
  <c r="F35" i="1"/>
  <c r="G35" i="1"/>
  <c r="H35" i="1"/>
  <c r="I35" i="1"/>
  <c r="J35" i="1"/>
  <c r="B35" i="1"/>
  <c r="B34" i="1"/>
  <c r="B28" i="1"/>
  <c r="C22" i="1"/>
  <c r="D22" i="1"/>
  <c r="E22" i="1"/>
  <c r="F22" i="1"/>
  <c r="G22" i="1"/>
  <c r="H22" i="1"/>
  <c r="I22" i="1"/>
  <c r="J22" i="1"/>
  <c r="C23" i="1"/>
  <c r="D23" i="1"/>
  <c r="E23" i="1"/>
  <c r="F23" i="1"/>
  <c r="G23" i="1"/>
  <c r="H23" i="1"/>
  <c r="I23" i="1"/>
  <c r="J23" i="1"/>
  <c r="B23" i="1"/>
  <c r="B22" i="1"/>
  <c r="C16" i="1"/>
  <c r="D16" i="1"/>
  <c r="E16" i="1"/>
  <c r="F16" i="1"/>
  <c r="G16" i="1"/>
  <c r="H16" i="1"/>
  <c r="I16" i="1"/>
  <c r="J16" i="1"/>
  <c r="C17" i="1"/>
  <c r="D17" i="1"/>
  <c r="E17" i="1"/>
  <c r="F17" i="1"/>
  <c r="G17" i="1"/>
  <c r="H17" i="1"/>
  <c r="I17" i="1"/>
  <c r="J17" i="1"/>
  <c r="B17" i="1"/>
  <c r="B16" i="1"/>
  <c r="C10" i="1"/>
  <c r="D10" i="1"/>
  <c r="E10" i="1"/>
  <c r="F10" i="1"/>
  <c r="G10" i="1"/>
  <c r="H10" i="1"/>
  <c r="I10" i="1"/>
  <c r="J10" i="1"/>
  <c r="C11" i="1"/>
  <c r="D11" i="1"/>
  <c r="E11" i="1"/>
  <c r="F11" i="1"/>
  <c r="G11" i="1"/>
  <c r="H11" i="1"/>
  <c r="I11" i="1"/>
  <c r="J11" i="1"/>
  <c r="B10" i="1"/>
  <c r="B11" i="1"/>
  <c r="A32" i="1"/>
  <c r="C28" i="1"/>
  <c r="D28" i="1"/>
  <c r="E28" i="1"/>
  <c r="E29" i="1" s="1"/>
  <c r="F28" i="1"/>
  <c r="G28" i="1"/>
  <c r="H28" i="1"/>
  <c r="I28" i="1"/>
  <c r="I29" i="1" s="1"/>
  <c r="J28" i="1"/>
  <c r="J29" i="1" s="1"/>
  <c r="B29" i="1"/>
  <c r="A26" i="1"/>
  <c r="A20" i="1"/>
  <c r="C29" i="1"/>
  <c r="H29" i="1"/>
  <c r="G29" i="1"/>
  <c r="F29" i="1"/>
  <c r="D29" i="1"/>
  <c r="A14" i="1"/>
  <c r="A8" i="1"/>
</calcChain>
</file>

<file path=xl/sharedStrings.xml><?xml version="1.0" encoding="utf-8"?>
<sst xmlns="http://schemas.openxmlformats.org/spreadsheetml/2006/main" count="81" uniqueCount="20">
  <si>
    <t>Tahun</t>
  </si>
  <si>
    <t>Data Terhimpun</t>
  </si>
  <si>
    <t>Aset Tetap</t>
  </si>
  <si>
    <t>Aset Kelolaan</t>
  </si>
  <si>
    <t>Gaji Amilin</t>
  </si>
  <si>
    <t>Dana Tersalurkan</t>
  </si>
  <si>
    <t>Biaya Operasional</t>
  </si>
  <si>
    <t>Total Input</t>
  </si>
  <si>
    <t>Total Output</t>
  </si>
  <si>
    <t xml:space="preserve">CRS_TE     </t>
  </si>
  <si>
    <t xml:space="preserve">VRS_TE    </t>
  </si>
  <si>
    <t xml:space="preserve">NIRS_TE      </t>
  </si>
  <si>
    <t xml:space="preserve">SCALE        </t>
  </si>
  <si>
    <t>RTS</t>
  </si>
  <si>
    <t>dmu</t>
  </si>
  <si>
    <t>Scale</t>
  </si>
  <si>
    <t xml:space="preserve">Aktual </t>
  </si>
  <si>
    <t>Target</t>
  </si>
  <si>
    <t>To Gain</t>
  </si>
  <si>
    <t>To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</si>
</sst>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9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DATA INPUT-OUTPUT 2018-2022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Data Terhimpun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10710019107</c:v>
                </c:pt>
                <c:pt idx="1">
                  <c:v>12879533789</c:v>
                </c:pt>
                <c:pt idx="2">
                  <c:v>16767037842</c:v>
                </c:pt>
                <c:pt idx="3">
                  <c:v>9646124790</c:v>
                </c:pt>
                <c:pt idx="4">
                  <c:v>24041604669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1E-40C4-8191-4BDDD8FC5F1D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Aset Tetap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7568366080</c:v>
                </c:pt>
                <c:pt idx="1">
                  <c:v>9842651769</c:v>
                </c:pt>
                <c:pt idx="2">
                  <c:v>13872889279</c:v>
                </c:pt>
                <c:pt idx="3">
                  <c:v>7189087794</c:v>
                </c:pt>
                <c:pt idx="4">
                  <c:v>20717468440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1E-40C4-8191-4BDDD8FC5F1D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Aset Kelolaan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2899537930</c:v>
                </c:pt>
                <c:pt idx="1">
                  <c:v>3009834927</c:v>
                </c:pt>
                <c:pt idx="2">
                  <c:v>1976247131</c:v>
                </c:pt>
                <c:pt idx="3">
                  <c:v>1755791520</c:v>
                </c:pt>
                <c:pt idx="4">
                  <c:v>1651995460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1E-40C4-8191-4BDDD8FC5F1D}"/>
            </c:ext>
          </c:extLst>
        </c:ser>
        <c:ser>
          <c:idx val="4"/>
          <c:order val="3"/>
          <c:tx>
            <c:strRef>
              <c:f>Sheet1!$E$1</c:f>
              <c:strCache>
                <c:ptCount val="1"/>
                <c:pt idx="0">
                  <c:v>Gaji Amilin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Sheet1!$E$2:$E$6</c:f>
              <c:numCache>
                <c:formatCode>General</c:formatCode>
                <c:ptCount val="5"/>
                <c:pt idx="0">
                  <c:v>411689000</c:v>
                </c:pt>
                <c:pt idx="1">
                  <c:v>405985000</c:v>
                </c:pt>
                <c:pt idx="2">
                  <c:v>467770000</c:v>
                </c:pt>
                <c:pt idx="3">
                  <c:v>501761500</c:v>
                </c:pt>
                <c:pt idx="4">
                  <c:v>1255045000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1E-40C4-8191-4BDDD8FC5F1D}"/>
            </c:ext>
          </c:extLst>
        </c:ser>
        <c:ser>
          <c:idx val="6"/>
          <c:order val="4"/>
          <c:tx>
            <c:strRef>
              <c:f>Sheet1!$G$1</c:f>
              <c:strCache>
                <c:ptCount val="1"/>
                <c:pt idx="0">
                  <c:v>Dana Tersalurkan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Sheet1!$G$2:$G$6</c:f>
              <c:numCache>
                <c:formatCode>General</c:formatCode>
                <c:ptCount val="5"/>
                <c:pt idx="0">
                  <c:v>8647406379</c:v>
                </c:pt>
                <c:pt idx="1">
                  <c:v>7797657253</c:v>
                </c:pt>
                <c:pt idx="2">
                  <c:v>9515842928</c:v>
                </c:pt>
                <c:pt idx="3">
                  <c:v>18204063342</c:v>
                </c:pt>
                <c:pt idx="4">
                  <c:v>18925158109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1E-40C4-8191-4BDDD8FC5F1D}"/>
            </c:ext>
          </c:extLst>
        </c:ser>
        <c:ser>
          <c:idx val="7"/>
          <c:order val="5"/>
          <c:tx>
            <c:strRef>
              <c:f>Sheet1!$H$1</c:f>
              <c:strCache>
                <c:ptCount val="1"/>
                <c:pt idx="0">
                  <c:v>Biaya Operasional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Sheet1!$H$2:$H$6</c:f>
              <c:numCache>
                <c:formatCode>General</c:formatCode>
                <c:ptCount val="5"/>
                <c:pt idx="0">
                  <c:v>1813768805</c:v>
                </c:pt>
                <c:pt idx="1">
                  <c:v>2440647175</c:v>
                </c:pt>
                <c:pt idx="2">
                  <c:v>2945141074</c:v>
                </c:pt>
                <c:pt idx="3">
                  <c:v>3512743094</c:v>
                </c:pt>
                <c:pt idx="4">
                  <c:v>8008679132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1E-40C4-8191-4BDDD8FC5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84991"/>
        <c:axId val="41985471"/>
      </c:lineChart>
      <c:catAx>
        <c:axId val="41984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5471"/>
        <c:crosses val="autoZero"/>
        <c:auto val="1"/>
        <c:lblAlgn val="ctr"/>
        <c:lblOffset val="100"/>
        <c:noMultiLvlLbl val="0"/>
      </c:catAx>
      <c:valAx>
        <c:axId val="419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GRAFIK EFISIENSI 2018-2022</a:t>
            </a:r>
          </a:p>
        </c:rich>
      </c:tx>
      <c:layout>
        <c:manualLayout>
          <c:xMode val="edge"/>
          <c:yMode val="edge"/>
          <c:x val="0.2483818897637795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Sheet2!$B$1</c:f>
              <c:strCache>
                <c:ptCount val="1"/>
                <c:pt idx="0">
                  <c:v>CRS_TE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Sheet1!$A$2:$A$6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Sheet2!$B$2:$B$6</c:f>
              <c:numCache>
                <c:formatCode>0%</c:formatCode>
                <c:ptCount val="5"/>
                <c:pt idx="0">
                  <c:v>0.42599900000000002</c:v>
                </c:pt>
                <c:pt idx="1">
                  <c:v>0.34437299999999998</c:v>
                </c:pt>
                <c:pt idx="2">
                  <c:v>0.33113700000000001</c:v>
                </c:pt>
                <c:pt idx="3">
                  <c:v>1</c:v>
                </c:pt>
                <c:pt idx="4">
                  <c:v>0.49677700000000002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8A-4B69-90C9-908DECE761A7}"/>
            </c:ext>
          </c:extLst>
        </c:ser>
        <c:ser>
          <c:idx val="2"/>
          <c:order val="1"/>
          <c:tx>
            <c:strRef>
              <c:f>Sheet2!$C$1</c:f>
              <c:strCache>
                <c:ptCount val="1"/>
                <c:pt idx="0">
                  <c:v>VRS_TE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Sheet1!$A$2:$A$6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Sheet2!$C$2:$C$6</c:f>
              <c:numCache>
                <c:formatCode>0%</c:formatCode>
                <c:ptCount val="5"/>
                <c:pt idx="0">
                  <c:v>0.47180499999999997</c:v>
                </c:pt>
                <c:pt idx="1">
                  <c:v>0.44508300000000001</c:v>
                </c:pt>
                <c:pt idx="2">
                  <c:v>0.51340300000000005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8A-4B69-90C9-908DECE76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2881119"/>
        <c:axId val="942884959"/>
        <c:axId val="0"/>
      </c:bar3DChart>
      <c:catAx>
        <c:axId val="94288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84959"/>
        <c:crosses val="autoZero"/>
        <c:auto val="1"/>
        <c:lblAlgn val="ctr"/>
        <c:lblOffset val="100"/>
        <c:noMultiLvlLbl val="0"/>
      </c:catAx>
      <c:valAx>
        <c:axId val="94288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8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460269</xdr:colOff>
      <xdr:row>0</xdr:row>
      <xdr:rowOff>42314</xdr:rowOff>
    </xdr:from>
    <xdr:to>
      <xdr:col>22</xdr:col>
      <xdr:colOff>596899</xdr:colOff>
      <xdr:row>24</xdr:row>
      <xdr:rowOff>115341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C44E6-32C9-9F9C-BFA4-84DE602E8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441325</xdr:colOff>
      <xdr:row>0</xdr:row>
      <xdr:rowOff>155575</xdr:rowOff>
    </xdr:from>
    <xdr:to>
      <xdr:col>14</xdr:col>
      <xdr:colOff>136525</xdr:colOff>
      <xdr:row>15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19F24-4F79-BB4A-82ED-2F836E1BA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BA23-51A2-465D-A200-90D2A6F97338}">
  <dimension ref="A1:J37"/>
  <sheetViews>
    <sheetView tabSelected="1" zoomScale="61" workbookViewId="0">
      <selection activeCell="A8" sqref="A8:J37"/>
    </sheetView>
  </sheetViews>
  <sheetFormatPr defaultRowHeight="14.5" x14ac:dyDescent="0.35"/>
  <cols>
    <col min="1" max="1" width="10.90625" bestFit="1" customWidth="1"/>
    <col min="2" max="2" width="14.453125" bestFit="1" customWidth="1"/>
    <col min="3" max="3" width="11.81640625" bestFit="1" customWidth="1"/>
    <col min="4" max="4" width="12" bestFit="1" customWidth="1"/>
    <col min="5" max="5" width="10.81640625" bestFit="1" customWidth="1"/>
    <col min="6" max="7" width="11.81640625" bestFit="1" customWidth="1"/>
    <col min="8" max="8" width="10.81640625" bestFit="1" customWidth="1"/>
    <col min="9" max="9" width="11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15</v>
      </c>
    </row>
    <row r="2" spans="1:10" x14ac:dyDescent="0.35">
      <c r="A2">
        <v>2018</v>
      </c>
      <c r="B2">
        <v>10710019107</v>
      </c>
      <c r="C2">
        <v>7568366080</v>
      </c>
      <c r="D2">
        <v>2899537930</v>
      </c>
      <c r="E2">
        <v>411689000</v>
      </c>
      <c r="F2">
        <v>21589612117</v>
      </c>
      <c r="G2">
        <v>8647406379</v>
      </c>
      <c r="H2">
        <v>1813768805</v>
      </c>
      <c r="I2">
        <v>10461175184</v>
      </c>
      <c r="J2">
        <v>0.90291399999999999</v>
      </c>
    </row>
    <row r="3" spans="1:10" x14ac:dyDescent="0.35">
      <c r="A3">
        <v>2019</v>
      </c>
      <c r="B3">
        <v>12879533789</v>
      </c>
      <c r="C3">
        <v>9842651769</v>
      </c>
      <c r="D3">
        <v>3009834927</v>
      </c>
      <c r="E3">
        <v>405985000</v>
      </c>
      <c r="F3">
        <v>26138005484</v>
      </c>
      <c r="G3">
        <v>7797657253</v>
      </c>
      <c r="H3">
        <v>2440647175</v>
      </c>
      <c r="I3">
        <v>10238304428</v>
      </c>
      <c r="J3">
        <v>0.77372700000000005</v>
      </c>
    </row>
    <row r="4" spans="1:10" x14ac:dyDescent="0.35">
      <c r="A4">
        <v>2020</v>
      </c>
      <c r="B4">
        <v>16767037842</v>
      </c>
      <c r="C4">
        <v>13872889279</v>
      </c>
      <c r="D4">
        <v>1976247131</v>
      </c>
      <c r="E4">
        <v>467770000</v>
      </c>
      <c r="F4">
        <v>33083944252</v>
      </c>
      <c r="G4">
        <v>9515842928</v>
      </c>
      <c r="H4">
        <v>2945141074</v>
      </c>
      <c r="I4">
        <v>12460984002</v>
      </c>
      <c r="J4">
        <v>0.64498500000000003</v>
      </c>
    </row>
    <row r="5" spans="1:10" x14ac:dyDescent="0.35">
      <c r="A5">
        <v>2021</v>
      </c>
      <c r="B5">
        <v>9646124790</v>
      </c>
      <c r="C5">
        <v>7189087794</v>
      </c>
      <c r="D5">
        <v>1755791520</v>
      </c>
      <c r="E5">
        <v>501761500</v>
      </c>
      <c r="F5">
        <v>19092765604</v>
      </c>
      <c r="G5">
        <v>18204063342</v>
      </c>
      <c r="H5">
        <v>3512743094</v>
      </c>
      <c r="I5">
        <v>21716806436</v>
      </c>
      <c r="J5">
        <v>1</v>
      </c>
    </row>
    <row r="6" spans="1:10" x14ac:dyDescent="0.35">
      <c r="A6">
        <v>2022</v>
      </c>
      <c r="B6">
        <v>24041604669</v>
      </c>
      <c r="C6">
        <v>20717468440</v>
      </c>
      <c r="D6">
        <v>1651995460</v>
      </c>
      <c r="E6">
        <v>1255045000</v>
      </c>
      <c r="F6">
        <v>47666113569</v>
      </c>
      <c r="G6">
        <v>18925158109</v>
      </c>
      <c r="H6">
        <v>8008679132</v>
      </c>
      <c r="I6">
        <v>26933837241</v>
      </c>
      <c r="J6">
        <v>0.49677700000000002</v>
      </c>
    </row>
    <row r="8" spans="1:10" x14ac:dyDescent="0.35">
      <c r="A8">
        <f>A2</f>
        <v>2018</v>
      </c>
    </row>
    <row r="9" spans="1:10" x14ac:dyDescent="0.35">
      <c r="A9" s="3"/>
      <c r="B9" s="3" t="s">
        <v>1</v>
      </c>
      <c r="C9" s="3" t="s">
        <v>2</v>
      </c>
      <c r="D9" s="3" t="s">
        <v>3</v>
      </c>
      <c r="E9" s="3" t="s">
        <v>4</v>
      </c>
      <c r="F9" s="3" t="s">
        <v>7</v>
      </c>
      <c r="G9" s="3" t="s">
        <v>5</v>
      </c>
      <c r="H9" s="3" t="s">
        <v>6</v>
      </c>
      <c r="I9" s="3" t="s">
        <v>8</v>
      </c>
      <c r="J9" s="3" t="s">
        <v>15</v>
      </c>
    </row>
    <row r="10" spans="1:10" x14ac:dyDescent="0.35">
      <c r="A10" s="3" t="s">
        <v>16</v>
      </c>
      <c r="B10" s="3">
        <f>B12*B2</f>
        <v>4562457429.5628929</v>
      </c>
      <c r="C10" s="3">
        <f t="shared" ref="C10:J10" si="0">C12*C2</f>
        <v>3224116381.7139201</v>
      </c>
      <c r="D10" s="3">
        <f t="shared" si="0"/>
        <v>1235200258.6420701</v>
      </c>
      <c r="E10" s="3">
        <f t="shared" si="0"/>
        <v>175379102.31100002</v>
      </c>
      <c r="F10" s="3">
        <f t="shared" si="0"/>
        <v>9197153172.2298832</v>
      </c>
      <c r="G10" s="3">
        <f t="shared" si="0"/>
        <v>3683786470.0476213</v>
      </c>
      <c r="H10" s="3">
        <f t="shared" si="0"/>
        <v>772663697.16119504</v>
      </c>
      <c r="I10" s="3">
        <f t="shared" si="0"/>
        <v>4456450167.2088165</v>
      </c>
      <c r="J10" s="3">
        <f t="shared" si="0"/>
        <v>0.38464046108600003</v>
      </c>
    </row>
    <row r="11" spans="1:10" x14ac:dyDescent="0.35">
      <c r="A11" s="3" t="s">
        <v>17</v>
      </c>
      <c r="B11" s="3">
        <f>B13*B2</f>
        <v>5053040564.7781343</v>
      </c>
      <c r="C11" s="3">
        <f t="shared" ref="C11:J11" si="1">C13*C2</f>
        <v>3570792958.3743997</v>
      </c>
      <c r="D11" s="3">
        <f t="shared" si="1"/>
        <v>1368016493.0636499</v>
      </c>
      <c r="E11" s="3">
        <f t="shared" si="1"/>
        <v>194236928.64499998</v>
      </c>
      <c r="F11" s="3">
        <f t="shared" si="1"/>
        <v>10186086944.861185</v>
      </c>
      <c r="G11" s="3">
        <f t="shared" si="1"/>
        <v>4079889566.6440949</v>
      </c>
      <c r="H11" s="3">
        <f t="shared" si="1"/>
        <v>855745191.0430249</v>
      </c>
      <c r="I11" s="3">
        <f t="shared" si="1"/>
        <v>4935634757.6871195</v>
      </c>
      <c r="J11" s="3">
        <f t="shared" si="1"/>
        <v>0.42599933976999999</v>
      </c>
    </row>
    <row r="12" spans="1:10" x14ac:dyDescent="0.35">
      <c r="A12" s="3" t="s">
        <v>18</v>
      </c>
      <c r="B12" s="5">
        <v>0.42599900000000002</v>
      </c>
      <c r="C12" s="5">
        <v>0.42599900000000002</v>
      </c>
      <c r="D12" s="5">
        <v>0.42599900000000002</v>
      </c>
      <c r="E12" s="5">
        <v>0.42599900000000002</v>
      </c>
      <c r="F12" s="5">
        <v>0.42599900000000002</v>
      </c>
      <c r="G12" s="5">
        <v>0.42599900000000002</v>
      </c>
      <c r="H12" s="5">
        <v>0.42599900000000002</v>
      </c>
      <c r="I12" s="5">
        <v>0.42599900000000002</v>
      </c>
      <c r="J12" s="5">
        <v>0.42599900000000002</v>
      </c>
    </row>
    <row r="13" spans="1:10" x14ac:dyDescent="0.35">
      <c r="A13" s="3" t="s">
        <v>19</v>
      </c>
      <c r="B13" s="5">
        <v>0.47180499999999997</v>
      </c>
      <c r="C13" s="5">
        <v>0.47180499999999997</v>
      </c>
      <c r="D13" s="5">
        <v>0.47180499999999997</v>
      </c>
      <c r="E13" s="5">
        <v>0.47180499999999997</v>
      </c>
      <c r="F13" s="5">
        <v>0.47180499999999997</v>
      </c>
      <c r="G13" s="5">
        <v>0.47180499999999997</v>
      </c>
      <c r="H13" s="5">
        <v>0.47180499999999997</v>
      </c>
      <c r="I13" s="5">
        <v>0.47180499999999997</v>
      </c>
      <c r="J13" s="5">
        <v>0.47180499999999997</v>
      </c>
    </row>
    <row r="14" spans="1:10" x14ac:dyDescent="0.35">
      <c r="A14">
        <f>A3</f>
        <v>2019</v>
      </c>
    </row>
    <row r="15" spans="1:10" x14ac:dyDescent="0.35">
      <c r="A15" s="3"/>
      <c r="B15" s="3" t="s">
        <v>1</v>
      </c>
      <c r="C15" s="3" t="s">
        <v>2</v>
      </c>
      <c r="D15" s="3" t="s">
        <v>3</v>
      </c>
      <c r="E15" s="3" t="s">
        <v>4</v>
      </c>
      <c r="F15" s="3" t="s">
        <v>7</v>
      </c>
      <c r="G15" s="3" t="s">
        <v>5</v>
      </c>
      <c r="H15" s="3" t="s">
        <v>6</v>
      </c>
      <c r="I15" s="3" t="s">
        <v>8</v>
      </c>
      <c r="J15" s="3" t="s">
        <v>15</v>
      </c>
    </row>
    <row r="16" spans="1:10" x14ac:dyDescent="0.35">
      <c r="A16" s="3" t="s">
        <v>16</v>
      </c>
      <c r="B16" s="3">
        <f>B18*B3</f>
        <v>4435363689.5192966</v>
      </c>
      <c r="C16" s="3">
        <f t="shared" ref="C16:J16" si="2">C18*C3</f>
        <v>3389543517.6458368</v>
      </c>
      <c r="D16" s="3">
        <f t="shared" si="2"/>
        <v>1036505883.315771</v>
      </c>
      <c r="E16" s="3">
        <f t="shared" si="2"/>
        <v>139810272.405</v>
      </c>
      <c r="F16" s="3">
        <f t="shared" si="2"/>
        <v>9001223362.5415325</v>
      </c>
      <c r="G16" s="3">
        <f t="shared" si="2"/>
        <v>2685302621.1873689</v>
      </c>
      <c r="H16" s="3">
        <f t="shared" si="2"/>
        <v>840492989.59627497</v>
      </c>
      <c r="I16" s="3">
        <f t="shared" si="2"/>
        <v>3525795610.7836437</v>
      </c>
      <c r="J16" s="3">
        <f t="shared" si="2"/>
        <v>0.26645068817099998</v>
      </c>
    </row>
    <row r="17" spans="1:10" x14ac:dyDescent="0.35">
      <c r="A17" s="3" t="s">
        <v>17</v>
      </c>
      <c r="B17" s="3">
        <f>B19*B3</f>
        <v>5732461537.4094868</v>
      </c>
      <c r="C17" s="3">
        <f t="shared" ref="C17:J17" si="3">C19*C3</f>
        <v>4380796977.3018274</v>
      </c>
      <c r="D17" s="3">
        <f t="shared" si="3"/>
        <v>1339626358.813941</v>
      </c>
      <c r="E17" s="3">
        <f t="shared" si="3"/>
        <v>180697021.755</v>
      </c>
      <c r="F17" s="3">
        <f t="shared" si="3"/>
        <v>11633581894.835173</v>
      </c>
      <c r="G17" s="3">
        <f t="shared" si="3"/>
        <v>3470604683.1369991</v>
      </c>
      <c r="H17" s="3">
        <f t="shared" si="3"/>
        <v>1086290566.5905249</v>
      </c>
      <c r="I17" s="3">
        <f t="shared" si="3"/>
        <v>4556895249.7275238</v>
      </c>
      <c r="J17" s="3">
        <f t="shared" si="3"/>
        <v>0.34437273434100002</v>
      </c>
    </row>
    <row r="18" spans="1:10" x14ac:dyDescent="0.35">
      <c r="A18" s="3" t="s">
        <v>18</v>
      </c>
      <c r="B18" s="5">
        <v>0.34437299999999998</v>
      </c>
      <c r="C18" s="5">
        <v>0.34437299999999998</v>
      </c>
      <c r="D18" s="5">
        <v>0.34437299999999998</v>
      </c>
      <c r="E18" s="5">
        <v>0.34437299999999998</v>
      </c>
      <c r="F18" s="5">
        <v>0.34437299999999998</v>
      </c>
      <c r="G18" s="5">
        <v>0.34437299999999998</v>
      </c>
      <c r="H18" s="5">
        <v>0.34437299999999998</v>
      </c>
      <c r="I18" s="5">
        <v>0.34437299999999998</v>
      </c>
      <c r="J18" s="5">
        <v>0.34437299999999998</v>
      </c>
    </row>
    <row r="19" spans="1:10" x14ac:dyDescent="0.35">
      <c r="A19" s="3" t="s">
        <v>19</v>
      </c>
      <c r="B19" s="5">
        <v>0.44508300000000001</v>
      </c>
      <c r="C19" s="5">
        <v>0.44508300000000001</v>
      </c>
      <c r="D19" s="5">
        <v>0.44508300000000001</v>
      </c>
      <c r="E19" s="5">
        <v>0.44508300000000001</v>
      </c>
      <c r="F19" s="5">
        <v>0.44508300000000001</v>
      </c>
      <c r="G19" s="5">
        <v>0.44508300000000001</v>
      </c>
      <c r="H19" s="5">
        <v>0.44508300000000001</v>
      </c>
      <c r="I19" s="5">
        <v>0.44508300000000001</v>
      </c>
      <c r="J19" s="5">
        <v>0.44508300000000001</v>
      </c>
    </row>
    <row r="20" spans="1:10" x14ac:dyDescent="0.35">
      <c r="A20">
        <f>A4</f>
        <v>2020</v>
      </c>
    </row>
    <row r="21" spans="1:10" x14ac:dyDescent="0.35">
      <c r="A21" s="3"/>
      <c r="B21" s="3" t="s">
        <v>1</v>
      </c>
      <c r="C21" s="3" t="s">
        <v>2</v>
      </c>
      <c r="D21" s="3" t="s">
        <v>3</v>
      </c>
      <c r="E21" s="3" t="s">
        <v>4</v>
      </c>
      <c r="F21" s="3" t="s">
        <v>7</v>
      </c>
      <c r="G21" s="3" t="s">
        <v>5</v>
      </c>
      <c r="H21" s="3" t="s">
        <v>6</v>
      </c>
      <c r="I21" s="3" t="s">
        <v>8</v>
      </c>
      <c r="J21" s="3" t="s">
        <v>15</v>
      </c>
    </row>
    <row r="22" spans="1:10" x14ac:dyDescent="0.35">
      <c r="A22" s="3" t="s">
        <v>16</v>
      </c>
      <c r="B22" s="3">
        <f>B24*B4</f>
        <v>5552186609.8863544</v>
      </c>
      <c r="C22" s="3">
        <f t="shared" ref="C22:J22" si="4">C24*C4</f>
        <v>4593826937.1802235</v>
      </c>
      <c r="D22" s="3">
        <f t="shared" si="4"/>
        <v>654408546.21794701</v>
      </c>
      <c r="E22" s="3">
        <f t="shared" si="4"/>
        <v>154895954.49000001</v>
      </c>
      <c r="F22" s="3">
        <f t="shared" si="4"/>
        <v>10955318047.774525</v>
      </c>
      <c r="G22" s="3">
        <f t="shared" si="4"/>
        <v>3151047679.6491361</v>
      </c>
      <c r="H22" s="3">
        <f t="shared" si="4"/>
        <v>975245179.82113802</v>
      </c>
      <c r="I22" s="3">
        <f t="shared" si="4"/>
        <v>4126292859.470274</v>
      </c>
      <c r="J22" s="3">
        <f t="shared" si="4"/>
        <v>0.21357839794500003</v>
      </c>
    </row>
    <row r="23" spans="1:10" x14ac:dyDescent="0.35">
      <c r="A23" s="3" t="s">
        <v>17</v>
      </c>
      <c r="B23" s="3">
        <f>B4*B25</f>
        <v>8608247529.1963272</v>
      </c>
      <c r="C23" s="3">
        <f t="shared" ref="C23:J23" si="5">C4*C25</f>
        <v>7122382974.5064373</v>
      </c>
      <c r="D23" s="3">
        <f t="shared" si="5"/>
        <v>1014611205.7967931</v>
      </c>
      <c r="E23" s="3">
        <f t="shared" si="5"/>
        <v>240154521.31000003</v>
      </c>
      <c r="F23" s="3">
        <f t="shared" si="5"/>
        <v>16985396230.809557</v>
      </c>
      <c r="G23" s="3">
        <f t="shared" si="5"/>
        <v>4885462306.7639847</v>
      </c>
      <c r="H23" s="3">
        <f t="shared" si="5"/>
        <v>1512044262.8148222</v>
      </c>
      <c r="I23" s="3">
        <f t="shared" si="5"/>
        <v>6397506569.5788069</v>
      </c>
      <c r="J23" s="3">
        <f t="shared" si="5"/>
        <v>0.33113723395500005</v>
      </c>
    </row>
    <row r="24" spans="1:10" x14ac:dyDescent="0.35">
      <c r="A24" s="3" t="s">
        <v>18</v>
      </c>
      <c r="B24" s="5">
        <v>0.33113700000000001</v>
      </c>
      <c r="C24" s="5">
        <v>0.33113700000000001</v>
      </c>
      <c r="D24" s="5">
        <v>0.33113700000000001</v>
      </c>
      <c r="E24" s="5">
        <v>0.33113700000000001</v>
      </c>
      <c r="F24" s="5">
        <v>0.33113700000000001</v>
      </c>
      <c r="G24" s="5">
        <v>0.33113700000000001</v>
      </c>
      <c r="H24" s="5">
        <v>0.33113700000000001</v>
      </c>
      <c r="I24" s="5">
        <v>0.33113700000000001</v>
      </c>
      <c r="J24" s="5">
        <v>0.33113700000000001</v>
      </c>
    </row>
    <row r="25" spans="1:10" x14ac:dyDescent="0.35">
      <c r="A25" s="3" t="s">
        <v>19</v>
      </c>
      <c r="B25" s="5">
        <v>0.51340300000000005</v>
      </c>
      <c r="C25" s="5">
        <v>0.51340300000000005</v>
      </c>
      <c r="D25" s="5">
        <v>0.51340300000000005</v>
      </c>
      <c r="E25" s="5">
        <v>0.51340300000000005</v>
      </c>
      <c r="F25" s="5">
        <v>0.51340300000000005</v>
      </c>
      <c r="G25" s="5">
        <v>0.51340300000000005</v>
      </c>
      <c r="H25" s="5">
        <v>0.51340300000000005</v>
      </c>
      <c r="I25" s="5">
        <v>0.51340300000000005</v>
      </c>
      <c r="J25" s="5">
        <v>0.51340300000000005</v>
      </c>
    </row>
    <row r="26" spans="1:10" x14ac:dyDescent="0.35">
      <c r="A26">
        <f>A5</f>
        <v>2021</v>
      </c>
    </row>
    <row r="27" spans="1:10" x14ac:dyDescent="0.35">
      <c r="A27" s="3"/>
      <c r="B27" s="3" t="s">
        <v>1</v>
      </c>
      <c r="C27" s="3" t="s">
        <v>2</v>
      </c>
      <c r="D27" s="3" t="s">
        <v>3</v>
      </c>
      <c r="E27" s="3" t="s">
        <v>4</v>
      </c>
      <c r="F27" s="3" t="s">
        <v>7</v>
      </c>
      <c r="G27" s="3" t="s">
        <v>5</v>
      </c>
      <c r="H27" s="3" t="s">
        <v>6</v>
      </c>
      <c r="I27" s="3" t="s">
        <v>8</v>
      </c>
      <c r="J27" s="3" t="s">
        <v>15</v>
      </c>
    </row>
    <row r="28" spans="1:10" x14ac:dyDescent="0.35">
      <c r="A28" s="3" t="s">
        <v>16</v>
      </c>
      <c r="B28" s="3">
        <f>B5</f>
        <v>9646124790</v>
      </c>
      <c r="C28" s="3">
        <f t="shared" ref="C28:J28" si="6">C5</f>
        <v>7189087794</v>
      </c>
      <c r="D28" s="3">
        <f t="shared" si="6"/>
        <v>1755791520</v>
      </c>
      <c r="E28" s="3">
        <f t="shared" si="6"/>
        <v>501761500</v>
      </c>
      <c r="F28" s="3">
        <f t="shared" si="6"/>
        <v>19092765604</v>
      </c>
      <c r="G28" s="3">
        <f t="shared" si="6"/>
        <v>18204063342</v>
      </c>
      <c r="H28" s="3">
        <f t="shared" si="6"/>
        <v>3512743094</v>
      </c>
      <c r="I28" s="3">
        <f t="shared" si="6"/>
        <v>21716806436</v>
      </c>
      <c r="J28" s="3">
        <f t="shared" si="6"/>
        <v>1</v>
      </c>
    </row>
    <row r="29" spans="1:10" x14ac:dyDescent="0.35">
      <c r="A29" s="3" t="s">
        <v>17</v>
      </c>
      <c r="B29" s="3">
        <f>B28</f>
        <v>9646124790</v>
      </c>
      <c r="C29" s="3">
        <f t="shared" ref="C29" si="7">C28</f>
        <v>7189087794</v>
      </c>
      <c r="D29" s="3">
        <f t="shared" ref="D29" si="8">D28</f>
        <v>1755791520</v>
      </c>
      <c r="E29" s="3">
        <f t="shared" ref="E29" si="9">E28</f>
        <v>501761500</v>
      </c>
      <c r="F29" s="3">
        <f t="shared" ref="F29" si="10">F28</f>
        <v>19092765604</v>
      </c>
      <c r="G29" s="3">
        <f t="shared" ref="G29" si="11">G28</f>
        <v>18204063342</v>
      </c>
      <c r="H29" s="3">
        <f t="shared" ref="H29" si="12">H28</f>
        <v>3512743094</v>
      </c>
      <c r="I29" s="3">
        <f t="shared" ref="I29" si="13">I28</f>
        <v>21716806436</v>
      </c>
      <c r="J29" s="3">
        <f t="shared" ref="J29" si="14">J28</f>
        <v>1</v>
      </c>
    </row>
    <row r="30" spans="1:10" x14ac:dyDescent="0.35">
      <c r="A30" s="3" t="s">
        <v>18</v>
      </c>
      <c r="B30" s="4">
        <v>1</v>
      </c>
      <c r="C30" s="4">
        <v>1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</row>
    <row r="31" spans="1:10" x14ac:dyDescent="0.35">
      <c r="A31" s="3" t="s">
        <v>19</v>
      </c>
      <c r="B31" s="4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</row>
    <row r="32" spans="1:10" x14ac:dyDescent="0.35">
      <c r="A32">
        <f>A6</f>
        <v>2022</v>
      </c>
    </row>
    <row r="33" spans="1:10" x14ac:dyDescent="0.35">
      <c r="A33" s="3"/>
      <c r="B33" s="3" t="s">
        <v>1</v>
      </c>
      <c r="C33" s="3" t="s">
        <v>2</v>
      </c>
      <c r="D33" s="3" t="s">
        <v>3</v>
      </c>
      <c r="E33" s="3" t="s">
        <v>4</v>
      </c>
      <c r="F33" s="3" t="s">
        <v>7</v>
      </c>
      <c r="G33" s="3" t="s">
        <v>5</v>
      </c>
      <c r="H33" s="3" t="s">
        <v>6</v>
      </c>
      <c r="I33" s="3" t="s">
        <v>8</v>
      </c>
      <c r="J33" s="3" t="s">
        <v>15</v>
      </c>
    </row>
    <row r="34" spans="1:10" x14ac:dyDescent="0.35">
      <c r="A34" s="3" t="s">
        <v>16</v>
      </c>
      <c r="B34" s="3">
        <f>B36*B6</f>
        <v>11943316242.651814</v>
      </c>
      <c r="C34" s="3">
        <f t="shared" ref="C34:J34" si="15">C36*C6</f>
        <v>10291961819.21788</v>
      </c>
      <c r="D34" s="3">
        <f t="shared" si="15"/>
        <v>820673348.63242006</v>
      </c>
      <c r="E34" s="3">
        <f t="shared" si="15"/>
        <v>623477489.96500003</v>
      </c>
      <c r="F34" s="3">
        <f t="shared" si="15"/>
        <v>23679428900.467113</v>
      </c>
      <c r="G34" s="3">
        <f t="shared" si="15"/>
        <v>9401583269.9146938</v>
      </c>
      <c r="H34" s="3">
        <f t="shared" si="15"/>
        <v>3978527593.1575642</v>
      </c>
      <c r="I34" s="3">
        <f t="shared" si="15"/>
        <v>13380110863.072258</v>
      </c>
      <c r="J34" s="3">
        <f t="shared" si="15"/>
        <v>0.24678738772900002</v>
      </c>
    </row>
    <row r="35" spans="1:10" x14ac:dyDescent="0.35">
      <c r="A35" s="3" t="s">
        <v>17</v>
      </c>
      <c r="B35" s="3">
        <f>B6*B37</f>
        <v>24041604669</v>
      </c>
      <c r="C35" s="3">
        <f t="shared" ref="C35:J35" si="16">C6*C37</f>
        <v>20717468440</v>
      </c>
      <c r="D35" s="3">
        <f t="shared" si="16"/>
        <v>1651995460</v>
      </c>
      <c r="E35" s="3">
        <f t="shared" si="16"/>
        <v>1255045000</v>
      </c>
      <c r="F35" s="3">
        <f t="shared" si="16"/>
        <v>47666113569</v>
      </c>
      <c r="G35" s="3">
        <f t="shared" si="16"/>
        <v>18925158109</v>
      </c>
      <c r="H35" s="3">
        <f t="shared" si="16"/>
        <v>8008679132</v>
      </c>
      <c r="I35" s="3">
        <f t="shared" si="16"/>
        <v>26933837241</v>
      </c>
      <c r="J35" s="3">
        <f t="shared" si="16"/>
        <v>0.49677700000000002</v>
      </c>
    </row>
    <row r="36" spans="1:10" x14ac:dyDescent="0.35">
      <c r="A36" s="3" t="s">
        <v>18</v>
      </c>
      <c r="B36" s="5">
        <v>0.49677700000000002</v>
      </c>
      <c r="C36" s="5">
        <v>0.49677700000000002</v>
      </c>
      <c r="D36" s="5">
        <v>0.49677700000000002</v>
      </c>
      <c r="E36" s="5">
        <v>0.49677700000000002</v>
      </c>
      <c r="F36" s="5">
        <v>0.49677700000000002</v>
      </c>
      <c r="G36" s="5">
        <v>0.49677700000000002</v>
      </c>
      <c r="H36" s="5">
        <v>0.49677700000000002</v>
      </c>
      <c r="I36" s="5">
        <v>0.49677700000000002</v>
      </c>
      <c r="J36" s="5">
        <v>0.49677700000000002</v>
      </c>
    </row>
    <row r="37" spans="1:10" x14ac:dyDescent="0.35">
      <c r="A37" s="3" t="s">
        <v>19</v>
      </c>
      <c r="B37" s="5">
        <v>1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5ECE-68FD-463C-98E1-0CE286FAE379}">
  <dimension ref="A1:F6"/>
  <sheetViews>
    <sheetView workbookViewId="0">
      <selection activeCell="C2" sqref="C2"/>
    </sheetView>
  </sheetViews>
  <sheetFormatPr defaultRowHeight="14.5" x14ac:dyDescent="0.35"/>
  <cols>
    <col min="6" max="6" width="9.54296875" bestFit="1" customWidth="1"/>
  </cols>
  <sheetData>
    <row r="1" spans="1:6" x14ac:dyDescent="0.35">
      <c r="A1" t="s">
        <v>14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5">
      <c r="A2">
        <v>1</v>
      </c>
      <c r="B2" s="2">
        <v>0.42599900000000002</v>
      </c>
      <c r="C2" s="2">
        <v>0.47180499999999997</v>
      </c>
      <c r="D2">
        <v>0.47180499999999997</v>
      </c>
      <c r="E2">
        <v>0.90291399999999999</v>
      </c>
      <c r="F2" s="1">
        <v>1</v>
      </c>
    </row>
    <row r="3" spans="1:6" x14ac:dyDescent="0.35">
      <c r="A3">
        <v>2</v>
      </c>
      <c r="B3" s="2">
        <v>0.34437299999999998</v>
      </c>
      <c r="C3" s="2">
        <v>0.44508300000000001</v>
      </c>
      <c r="D3">
        <v>0.44508300000000001</v>
      </c>
      <c r="E3">
        <v>0.77372700000000005</v>
      </c>
      <c r="F3" s="1">
        <v>1</v>
      </c>
    </row>
    <row r="4" spans="1:6" x14ac:dyDescent="0.35">
      <c r="A4">
        <v>3</v>
      </c>
      <c r="B4" s="2">
        <v>0.33113700000000001</v>
      </c>
      <c r="C4" s="2">
        <v>0.51340300000000005</v>
      </c>
      <c r="D4">
        <v>0.51340300000000005</v>
      </c>
      <c r="E4">
        <v>0.64498500000000003</v>
      </c>
      <c r="F4" s="1">
        <v>1</v>
      </c>
    </row>
    <row r="5" spans="1:6" x14ac:dyDescent="0.35">
      <c r="A5">
        <v>4</v>
      </c>
      <c r="B5" s="2">
        <v>1</v>
      </c>
      <c r="C5" s="2">
        <v>1</v>
      </c>
      <c r="D5" s="1">
        <v>1</v>
      </c>
      <c r="E5" s="1">
        <v>1</v>
      </c>
      <c r="F5">
        <v>0</v>
      </c>
    </row>
    <row r="6" spans="1:6" x14ac:dyDescent="0.35">
      <c r="A6">
        <v>5</v>
      </c>
      <c r="B6" s="2">
        <v>0.49677700000000002</v>
      </c>
      <c r="C6" s="2">
        <v>1</v>
      </c>
      <c r="D6" s="1">
        <v>1</v>
      </c>
      <c r="E6">
        <v>0.49677700000000002</v>
      </c>
      <c r="F6" s="1">
        <v>-1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2023-04-26T03:47:43Z</dcterms:created>
  <dcterms:modified xsi:type="dcterms:W3CDTF">2023-04-27T20:37:35Z</dcterms:modified>
</cp:coreProperties>
</file>